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" sheetId="1" state="visible" r:id="rId3"/>
    <sheet name="Dashboard" sheetId="2" state="visible" r:id="rId4"/>
    <sheet name="Oahu Lead 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<sst xmlns="http://schemas.openxmlformats.org/spreadsheetml/2006/main" count="485" uniqueCount="190">
  <si>
    <t xml:space="preserve">ClickClose — Outreach Pipeline</t>
  </si>
  <si>
    <t xml:space="preserve">Add every prospect. Move Status down the funnel. Follow up = where deals are won.</t>
  </si>
  <si>
    <t xml:space="preserve">Business Name</t>
  </si>
  <si>
    <t xml:space="preserve">Type</t>
  </si>
  <si>
    <t xml:space="preserve">What's Wrong (your opener)</t>
  </si>
  <si>
    <t xml:space="preserve">Contact (phone/email)</t>
  </si>
  <si>
    <t xml:space="preserve">Source</t>
  </si>
  <si>
    <t xml:space="preserve">Status</t>
  </si>
  <si>
    <t xml:space="preserve">Date Contacted</t>
  </si>
  <si>
    <t xml:space="preserve">Follow-Up Date</t>
  </si>
  <si>
    <t xml:space="preserve">Notes</t>
  </si>
  <si>
    <t xml:space="preserve">(example) Silva Plumbing</t>
  </si>
  <si>
    <t xml:space="preserve">Plumber</t>
  </si>
  <si>
    <t xml:space="preserve">No website, only a Facebook page</t>
  </si>
  <si>
    <t xml:space="preserve">808-555-0100 / john@...</t>
  </si>
  <si>
    <t xml:space="preserve">Google Maps</t>
  </si>
  <si>
    <t xml:space="preserve">Interested</t>
  </si>
  <si>
    <t xml:space="preserve">Wants to see a mockup</t>
  </si>
  <si>
    <t xml:space="preserve">(example) Leeward Lawn Care</t>
  </si>
  <si>
    <t xml:space="preserve">Landscaping</t>
  </si>
  <si>
    <t xml:space="preserve">Ugly 2012 site, not mobile</t>
  </si>
  <si>
    <t xml:space="preserve">leewardlawn@...</t>
  </si>
  <si>
    <t xml:space="preserve">Drove by</t>
  </si>
  <si>
    <t xml:space="preserve">Mockup Sent</t>
  </si>
  <si>
    <t xml:space="preserve">Follow up in 3 days</t>
  </si>
  <si>
    <t xml:space="preserve">Heaven Sent Mobile Auto Detailing LLC</t>
  </si>
  <si>
    <t xml:space="preserve">Auto</t>
  </si>
  <si>
    <t xml:space="preserve">All intake is manual text messages, no booking page, no auto-reply.</t>
  </si>
  <si>
    <t xml:space="preserve">808-260-1035</t>
  </si>
  <si>
    <t xml:space="preserve">To Contact</t>
  </si>
  <si>
    <t xml:space="preserve">Priority: HOT | Suggested tier: Growth Engine | Kapolei • 71 reviews | DM hook: Saw the ceramic coating reviews — that work is fire. Just noticed there's no booking link online. I help mobile detailers on the west side get a simple setup so leads come in even when you're elbow-deep in a car.</t>
  </si>
  <si>
    <t xml:space="preserve">Malone's Mobile Detailing LLC</t>
  </si>
  <si>
    <t xml:space="preserve">Perfect 5.0 rating but no web presence to match — every lead has to call or find him by referral.</t>
  </si>
  <si>
    <t xml:space="preserve">IG/FB DM</t>
  </si>
  <si>
    <t xml:space="preserve">Priority: HOT | Suggested tier: Growth Engine | Ewa Beach • 69 reviews | DM hook: Alex — your reviews are insane, bro. 5 stars across the board. Just noticed there's nowhere to book online. I build simple systems for local detailers so leads don't ghost when you're in the middle of a job.</t>
  </si>
  <si>
    <t xml:space="preserve">Brown's Mobile Detailing</t>
  </si>
  <si>
    <t xml:space="preserve">No way to get a quote online — lost a lead because of phone-only intake.</t>
  </si>
  <si>
    <t xml:space="preserve">Priority: HOT | Suggested tier: Presence Pack | Ewa Beach • 58 reviews | DM hook: Johnny — saw you're known for calling people back, which is rare out here. Just noticed there's no way to request a quote online. I help west side operators set up simple intake systems so they never miss a lead.</t>
  </si>
  <si>
    <t xml:space="preserve">Oahu Mobile Car Detailing</t>
  </si>
  <si>
    <t xml:space="preserve">Low review count, all manual intake, no online booking presence.</t>
  </si>
  <si>
    <t xml:space="preserve">Priority: HOT | Suggested tier: Presence Pack | Honolulu • 35 reviews</t>
  </si>
  <si>
    <t xml:space="preserve">TurnUp Hawaii Mobile Detailing LLC</t>
  </si>
  <si>
    <t xml:space="preserve">Strong branding but no website or online booking to match the name.</t>
  </si>
  <si>
    <t xml:space="preserve">Priority: HOT | Suggested tier: Presence Pack | Mililani • 42 reviews</t>
  </si>
  <si>
    <t xml:space="preserve">Hi808lawnpros</t>
  </si>
  <si>
    <t xml:space="preserve">10 reviews in a fast-growing area — invisible on Google, fully referral-dependent.</t>
  </si>
  <si>
    <t xml:space="preserve">808-319-7046</t>
  </si>
  <si>
    <t xml:space="preserve">Priority: HOT | Suggested tier: Presence Pack | Kapolei • 10 reviews | DM hook: Earl — three generations, 5 stars, Kapolei. Love to see it. I noticed when I searched lawn care in the area your name barely shows up. I do websites for local operators out here and I think you'd be surprised what a simple page can do.</t>
  </si>
  <si>
    <t xml:space="preserve">Pascual Yard Services</t>
  </si>
  <si>
    <t xml:space="preserve">10-year business, only 16 reviews — basically invisible online despite loyal clients.</t>
  </si>
  <si>
    <t xml:space="preserve">Priority: HOT | Suggested tier: Presence Pack | Ewa Beach • 16 reviews</t>
  </si>
  <si>
    <t xml:space="preserve">Estrada Landscaping Services</t>
  </si>
  <si>
    <t xml:space="preserve">Negative reviews about reliability/communication — auto-confirmations could fix this.</t>
  </si>
  <si>
    <t xml:space="preserve">Priority: WARM | Suggested tier: Presence Pack | Kapolei • 9 reviews</t>
  </si>
  <si>
    <t xml:space="preserve">Reform Hawaii</t>
  </si>
  <si>
    <t xml:space="preserve">Other</t>
  </si>
  <si>
    <t xml:space="preserve">Highly searchable specialty (pre-diabetes, weight loss) but not capturing that search traffic.</t>
  </si>
  <si>
    <t xml:space="preserve">808-428-8673</t>
  </si>
  <si>
    <t xml:space="preserve">Priority: HOT | Suggested tier: Growth Engine | Kapolei • 63 reviews | DM hook: Saw your reviews — the pre-diabetes stuff is incredible work. I help local trainers in West Oahu set up a simple site + booking so the people who need exactly what you do can actually find you online. Would love to show you what that looks like.</t>
  </si>
  <si>
    <t xml:space="preserve">Elite Fitness Hawaii</t>
  </si>
  <si>
    <t xml:space="preserve">Offers remote/video training (a real differentiator) with no page highlighting it.</t>
  </si>
  <si>
    <t xml:space="preserve">Priority: HOT | Suggested tier: Growth Engine | Honolulu • 24 reviews</t>
  </si>
  <si>
    <t xml:space="preserve">Gravity Trained</t>
  </si>
  <si>
    <t xml:space="preserve">Extremely specific, searchable niche (posture/back pain) but nearly invisible online.</t>
  </si>
  <si>
    <t xml:space="preserve">Aloha Personal Training</t>
  </si>
  <si>
    <t xml:space="preserve">Multi-trainer studio with full service menu but essentially invisible on Google.</t>
  </si>
  <si>
    <t xml:space="preserve">Priority: HOT | Suggested tier: Growth Engine | Hawaii Kai • 26 reviews</t>
  </si>
  <si>
    <t xml:space="preserve">Hair by Shaylee</t>
  </si>
  <si>
    <t xml:space="preserve">No phone listed, no booking link — clients fly inter-island for her but can't book online.</t>
  </si>
  <si>
    <t xml:space="preserve">Priority: HOT | Suggested tier: Presence Pack | Kailua • 21 reviews | DM hook: Shaylee — someone's flying from the Big Island just for your chair. That's crazy. I noticed there's no way to book online though. I help solo stylists on Oahu set up a simple booking page so new clients can find you and lock in without playing phone tag.</t>
  </si>
  <si>
    <t xml:space="preserve">Salon Alaia</t>
  </si>
  <si>
    <t xml:space="preserve">20+ years experience, zero digital footprint, location requires directions to find.</t>
  </si>
  <si>
    <t xml:space="preserve">Priority: HOT | Suggested tier: Presence Pack | Honolulu • 9 reviews</t>
  </si>
  <si>
    <t xml:space="preserve">Hidden Beauty HI Spa</t>
  </si>
  <si>
    <t xml:space="preserve">Active on Instagram but no clear booking system to convert that traffic.</t>
  </si>
  <si>
    <t xml:space="preserve">Priority: HOT | Suggested tier: Growth Engine | Honolulu • 18 reviews</t>
  </si>
  <si>
    <t xml:space="preserve">Nails With Ashley &amp; Permanent Jewelry</t>
  </si>
  <si>
    <t xml:space="preserve">Entirely DM-driven booking — no system to capture inspo/preferences automatically.</t>
  </si>
  <si>
    <t xml:space="preserve">Priority: HOT | Suggested tier: Growth Engine | Kaneohe • 31 reviews | DM hook: Ashley — you've got clients in Texas ordering custom sets. That's a real brand. I noticed your booking is all through DM though — I help solo nail techs set up a simple form that captures inspo and preferences automatically.</t>
  </si>
  <si>
    <t xml:space="preserve">Salt and Beauty LLC</t>
  </si>
  <si>
    <t xml:space="preserve">Solo artist, no clear booking flow, likely all DM-driven intake.</t>
  </si>
  <si>
    <t xml:space="preserve">Priority: HOT | Suggested tier: Presence Pack | Honolulu • 24 reviews</t>
  </si>
  <si>
    <t xml:space="preserve">Whik'd Hair &amp; Makeup Hawaii</t>
  </si>
  <si>
    <t xml:space="preserve">Wedding-focused with no web presence — brides research online months ahead.</t>
  </si>
  <si>
    <t xml:space="preserve">Priority: HOT | Suggested tier: Presence Pack | Hawaii Kai • 17 reviews</t>
  </si>
  <si>
    <t xml:space="preserve">Bliss DJs Hawaii</t>
  </si>
  <si>
    <t xml:space="preserve">Plays rooms of 300+ people but only 17 reviews — no online booking/package page.</t>
  </si>
  <si>
    <t xml:space="preserve">Priority: HOT | Suggested tier: Presence Pack | Honolulu • 17 reviews | DM hook: Kevo — 'local uncle vibes' in a 5-star review is genuinely the best thing I've ever read. 17 reviews for the level of work you're doing seems way low though. I help event vendors build a simple page that captures leads from every event you work.</t>
  </si>
  <si>
    <t xml:space="preserve">Hawaii Events Unlimited</t>
  </si>
  <si>
    <t xml:space="preserve">Has a client portal already — needs auto-reply/lead capture layered on top.</t>
  </si>
  <si>
    <t xml:space="preserve">Priority: HOT | Suggested tier: Growth Engine | Pearl City • 20 reviews</t>
  </si>
  <si>
    <t xml:space="preserve">Your Story Events LLC</t>
  </si>
  <si>
    <t xml:space="preserve">Scattered presence across platforms — no central hub to see full menu and book.</t>
  </si>
  <si>
    <t xml:space="preserve">Priority: WARM | Suggested tier: Growth Engine | Honolulu • 57 reviews</t>
  </si>
  <si>
    <t xml:space="preserve">Kalama's Kuisine</t>
  </si>
  <si>
    <t xml:space="preserve">Fine-dining quality catering, only 8 reviews — invisible to brides searching online.</t>
  </si>
  <si>
    <t xml:space="preserve">Priority: HOT | Suggested tier: Presence Pack | Waipahu • 8 reviews | DM hook: Chef Bobby — someone called their wedding tasting with you 'a date night.' That's incredible. 8 reviews for that level of work means you're basically hidden online. I help local caterers get a simple page that lets brides find them first.</t>
  </si>
  <si>
    <t xml:space="preserve">My Ohana's BBQ LLC</t>
  </si>
  <si>
    <t xml:space="preserve">High repeat-visit rate but no visible catering inquiry path for companies/schools.</t>
  </si>
  <si>
    <t xml:space="preserve">808-726-5402</t>
  </si>
  <si>
    <t xml:space="preserve">Priority: HOT | Suggested tier: Presence Pack | Kapolei • 28 reviews</t>
  </si>
  <si>
    <t xml:space="preserve">Megan Moura Photography</t>
  </si>
  <si>
    <t xml:space="preserve">Premium reputation but likely booking through email/DM only — no automated inquiry flow.</t>
  </si>
  <si>
    <t xml:space="preserve">Priority: WARM | Suggested tier: Growth Engine | Honolulu • 51 reviews</t>
  </si>
  <si>
    <t xml:space="preserve">Nomadic Wedding Films</t>
  </si>
  <si>
    <t xml:space="preserve">New to Oahu market — ideal timing to establish local web presence before competition.</t>
  </si>
  <si>
    <t xml:space="preserve">Priority: HOT | Suggested tier: Presence Pack | Honolulu • 10 reviews</t>
  </si>
  <si>
    <t xml:space="preserve">Visionary Views LLC</t>
  </si>
  <si>
    <t xml:space="preserve">Real estate photography angle could drive recurring agent volume with a targeted landing page.</t>
  </si>
  <si>
    <t xml:space="preserve">Priority: HOT | Suggested tier: Growth Engine | Honolulu • 21 reviews</t>
  </si>
  <si>
    <t xml:space="preserve">H Films Hawaii</t>
  </si>
  <si>
    <t xml:space="preserve">No phone listed — all inquiries through IG DM only despite legacy-level work.</t>
  </si>
  <si>
    <t xml:space="preserve">Priority: HOT | Suggested tier: Presence Pack | Haleiwa • 37 reviews</t>
  </si>
  <si>
    <t xml:space="preserve">Hawaii's Affordable Handyman</t>
  </si>
  <si>
    <t xml:space="preserve">Same-day response, shows up within the hour — huge differentiator, only 4 reviews.</t>
  </si>
  <si>
    <t xml:space="preserve">Priority: HOT | Suggested tier: Presence Pack | Ewa Beach • 4 reviews | DM hook: David — showing up within the hour? That's every homeowner's dream out here. You only have 4 reviews though, which means most people can't find you when they're searching. I build simple pages for local handymen that fix that.</t>
  </si>
  <si>
    <t xml:space="preserve">Innovative Handywork LLC</t>
  </si>
  <si>
    <t xml:space="preserve">HOA paperwork support is a real differentiator, invisible in a high-demand market.</t>
  </si>
  <si>
    <t xml:space="preserve">Priority: HOT | Suggested tier: Presence Pack | Ewa Beach • 9 reviews</t>
  </si>
  <si>
    <t xml:space="preserve">Mattgyver's Handyman Service</t>
  </si>
  <si>
    <t xml:space="preserve">Deck builds show higher-ticket capability — doesn't show up for 'deck builder Ewa Beach' searches.</t>
  </si>
  <si>
    <t xml:space="preserve">Priority: HOT | Suggested tier: Presence Pack | Ewa Beach • 11 reviews</t>
  </si>
  <si>
    <t xml:space="preserve">Outreach Dashboard</t>
  </si>
  <si>
    <t xml:space="preserve">Live counts from your Pipeline. Aim: 20-30 contacted -&gt; 2-3 Won.</t>
  </si>
  <si>
    <t xml:space="preserve">Stage</t>
  </si>
  <si>
    <t xml:space="preserve">Count</t>
  </si>
  <si>
    <t xml:space="preserve">Contacted</t>
  </si>
  <si>
    <t xml:space="preserve">Booked</t>
  </si>
  <si>
    <t xml:space="preserve">Won</t>
  </si>
  <si>
    <t xml:space="preserve">Lost</t>
  </si>
  <si>
    <t xml:space="preserve">Total Prospects</t>
  </si>
  <si>
    <t xml:space="preserve">Win Rate</t>
  </si>
  <si>
    <t xml:space="preserve">Daily goal: 10 outreach touches. Every interested lead -&gt; free mockup within 24h. Follow up once after 3 days.</t>
  </si>
  <si>
    <t xml:space="preserve">Oahu Prospect Lead List — 30 Researched Businesses</t>
  </si>
  <si>
    <t xml:space="preserve">Reference sheet. Copy rows into the Pipeline tab as you start outreach, or work directly from here.</t>
  </si>
  <si>
    <t xml:space="preserve">Priority</t>
  </si>
  <si>
    <t xml:space="preserve">Category</t>
  </si>
  <si>
    <t xml:space="preserve">Location</t>
  </si>
  <si>
    <t xml:space="preserve">Reviews</t>
  </si>
  <si>
    <t xml:space="preserve">Phone</t>
  </si>
  <si>
    <t xml:space="preserve">Best Tier</t>
  </si>
  <si>
    <t xml:space="preserve">The Gap (opener)</t>
  </si>
  <si>
    <t xml:space="preserve">DM Hook</t>
  </si>
  <si>
    <t xml:space="preserve">Best Contact Window</t>
  </si>
  <si>
    <t xml:space="preserve">HOT</t>
  </si>
  <si>
    <t xml:space="preserve">Kapolei</t>
  </si>
  <si>
    <t xml:space="preserve">Growth Engine</t>
  </si>
  <si>
    <t xml:space="preserve">Saw the ceramic coating reviews — that work is fire. Just noticed there's no booking link online. I help mobile detailers on the west side get a simple setup so leads come in even when you're elbow-deep in a car.</t>
  </si>
  <si>
    <t xml:space="preserve">Early AM (before 8am) or eve (6-8pm) - phone in truck midday</t>
  </si>
  <si>
    <t xml:space="preserve">Ewa Beach</t>
  </si>
  <si>
    <t xml:space="preserve">Alex — your reviews are insane, bro. 5 stars across the board. Just noticed there's nowhere to book online. I build simple systems for local detailers so leads don't ghost when you're in the middle of a job.</t>
  </si>
  <si>
    <t xml:space="preserve">Presence Pack</t>
  </si>
  <si>
    <t xml:space="preserve">Johnny — saw you're known for calling people back, which is rare out here. Just noticed there's no way to request a quote online. I help west side operators set up simple intake systems so they never miss a lead.</t>
  </si>
  <si>
    <t xml:space="preserve">Honolulu</t>
  </si>
  <si>
    <t xml:space="preserve">Mililani</t>
  </si>
  <si>
    <t xml:space="preserve">Earl — three generations, 5 stars, Kapolei. Love to see it. I noticed when I searched lawn care in the area your name barely shows up. I do websites for local operators out here and I think you'd be surprised what a simple page can do.</t>
  </si>
  <si>
    <t xml:space="preserve">WARM</t>
  </si>
  <si>
    <t xml:space="preserve">Personal Training</t>
  </si>
  <si>
    <t xml:space="preserve">Saw your reviews — the pre-diabetes stuff is incredible work. I help local trainers in West Oahu set up a simple site + booking so the people who need exactly what you do can actually find you online. Would love to show you what that looks like.</t>
  </si>
  <si>
    <t xml:space="preserve">Midday gap 11am-2pm - between AM/PM training sessions</t>
  </si>
  <si>
    <t xml:space="preserve">Hawaii Kai</t>
  </si>
  <si>
    <t xml:space="preserve">Hair (Solo)</t>
  </si>
  <si>
    <t xml:space="preserve">Kailua</t>
  </si>
  <si>
    <t xml:space="preserve">Shaylee — someone's flying from the Big Island just for your chair. That's crazy. I noticed there's no way to book online though. I help solo stylists on Oahu set up a simple booking page so new clients can find you and lock in without playing phone tag.</t>
  </si>
  <si>
    <t xml:space="preserve">Late AM (10-11am) or eve after last appt (6-8pm)</t>
  </si>
  <si>
    <t xml:space="preserve">Hair Salon</t>
  </si>
  <si>
    <t xml:space="preserve">Esthetics</t>
  </si>
  <si>
    <t xml:space="preserve">Nails (Solo)</t>
  </si>
  <si>
    <t xml:space="preserve">Kaneohe</t>
  </si>
  <si>
    <t xml:space="preserve">Ashley — you've got clients in Texas ordering custom sets. That's a real brand. I noticed your booking is all through DM though — I help solo nail techs set up a simple form that captures inspo and preferences automatically.</t>
  </si>
  <si>
    <t xml:space="preserve">Makeup</t>
  </si>
  <si>
    <t xml:space="preserve">Makeup (Mobile)</t>
  </si>
  <si>
    <t xml:space="preserve">DJ/Events</t>
  </si>
  <si>
    <t xml:space="preserve">Kevo — 'local uncle vibes' in a 5-star review is genuinely the best thing I've ever read. 17 reviews for the level of work you're doing seems way low though. I help event vendors build a simple page that captures leads from every event you work.</t>
  </si>
  <si>
    <t xml:space="preserve">Weekday eve 7-9pm - weekends are their workdays</t>
  </si>
  <si>
    <t xml:space="preserve">Events</t>
  </si>
  <si>
    <t xml:space="preserve">Pearl City</t>
  </si>
  <si>
    <t xml:space="preserve">Décor/Florals</t>
  </si>
  <si>
    <t xml:space="preserve">Catering</t>
  </si>
  <si>
    <t xml:space="preserve">Waipahu</t>
  </si>
  <si>
    <t xml:space="preserve">Chef Bobby — someone called their wedding tasting with you 'a date night.' That's incredible. 8 reviews for that level of work means you're basically hidden online. I help local caterers get a simple page that lets brides find them first.</t>
  </si>
  <si>
    <t xml:space="preserve">Tue-Thu late morning - weekdays are prep/admin time</t>
  </si>
  <si>
    <t xml:space="preserve">Food/Catering</t>
  </si>
  <si>
    <t xml:space="preserve">Photography</t>
  </si>
  <si>
    <t xml:space="preserve">Weekday eve 7-9pm - weekends are shoot days</t>
  </si>
  <si>
    <t xml:space="preserve">Videography</t>
  </si>
  <si>
    <t xml:space="preserve">Photo/Video</t>
  </si>
  <si>
    <t xml:space="preserve">Haleiwa</t>
  </si>
  <si>
    <t xml:space="preserve">Handyman</t>
  </si>
  <si>
    <t xml:space="preserve">David — showing up within the hour? That's every homeowner's dream out here. You only have 4 reviews though, which means most people can't find you when they're searching. I build simple pages for local handymen that fix that.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</si>
</sst>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22E"/>
      <name val="Arial"/>
      <family val="0"/>
      <charset val="1"/>
    </font>
    <font>
      <i val="true"/>
      <sz val="10"/>
      <color rgb="FF5F6F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6B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222E"/>
        <bgColor rgb="FF003366"/>
      </patternFill>
    </fill>
    <fill>
      <patternFill patternType="solid">
        <fgColor rgb="FFF3F1EA"/>
        <bgColor rgb="FFFDEDEA"/>
      </patternFill>
    </fill>
    <fill>
      <patternFill patternType="solid">
        <fgColor rgb="FFFDEDEA"/>
        <bgColor rgb="FFF3F1EA"/>
      </patternFill>
    </fill>
    <fill>
      <patternFill patternType="solid">
        <fgColor rgb="FFFFF6E5"/>
        <bgColor rgb="FFFDED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1"/>
      </left>
      <right style="thin">
        <color rgb="FFD8DEE1"/>
      </right>
      <top style="thin">
        <color rgb="FFD8DEE1"/>
      </top>
      <bottom style="thin">
        <color rgb="FFD8DE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E5"/>
      <rgbColor rgb="FFF3F1EA"/>
      <rgbColor rgb="FF660066"/>
      <rgbColor rgb="FFFF6B4A"/>
      <rgbColor rgb="FF0066CC"/>
      <rgbColor rgb="FFD8DE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D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F77"/>
      <rgbColor rgb="FF969696"/>
      <rgbColor rgb="FF003366"/>
      <rgbColor rgb="FF339966"/>
      <rgbColor rgb="FF0B22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26"/>
    <col collapsed="false" customWidth="true" hidden="false" outlineLevel="0" max="6" min="5" style="1" width="16"/>
    <col collapsed="false" customWidth="true" hidden="false" outlineLevel="0" max="8" min="7" style="1" width="15"/>
    <col collapsed="false" customWidth="true" hidden="false" outlineLevel="0" max="9" min="9" style="1" width="34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true" outlineLevel="0" collapsed="false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/>
      <c r="H5" s="5"/>
      <c r="I5" s="5" t="s">
        <v>17</v>
      </c>
    </row>
    <row r="6" customFormat="false" ht="23.25" hidden="false" customHeight="true" outlineLevel="0" collapsed="false">
      <c r="A6" s="5" t="s">
        <v>18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5"/>
      <c r="H6" s="5"/>
      <c r="I6" s="5" t="s">
        <v>24</v>
      </c>
    </row>
    <row r="7" customFormat="false" ht="15" hidden="false" customHeight="true" outlineLevel="0" collapsed="false">
      <c r="A7" s="6" t="s">
        <v>25</v>
      </c>
      <c r="B7" s="6" t="s">
        <v>26</v>
      </c>
      <c r="C7" s="6" t="s">
        <v>27</v>
      </c>
      <c r="D7" s="6" t="s">
        <v>28</v>
      </c>
      <c r="E7" s="6" t="s">
        <v>15</v>
      </c>
      <c r="F7" s="6" t="s">
        <v>29</v>
      </c>
      <c r="G7" s="6"/>
      <c r="H7" s="6"/>
      <c r="I7" s="6" t="s">
        <v>30</v>
      </c>
    </row>
    <row r="8" customFormat="false" ht="15" hidden="false" customHeight="true" outlineLevel="0" collapsed="false">
      <c r="A8" s="6" t="s">
        <v>31</v>
      </c>
      <c r="B8" s="6" t="s">
        <v>26</v>
      </c>
      <c r="C8" s="6" t="s">
        <v>32</v>
      </c>
      <c r="D8" s="6" t="s">
        <v>33</v>
      </c>
      <c r="E8" s="6" t="s">
        <v>15</v>
      </c>
      <c r="F8" s="6" t="s">
        <v>29</v>
      </c>
      <c r="G8" s="6"/>
      <c r="H8" s="6"/>
      <c r="I8" s="6" t="s">
        <v>34</v>
      </c>
    </row>
    <row r="9" customFormat="false" ht="15" hidden="false" customHeight="true" outlineLevel="0" collapsed="false">
      <c r="A9" s="6" t="s">
        <v>35</v>
      </c>
      <c r="B9" s="6" t="s">
        <v>26</v>
      </c>
      <c r="C9" s="6" t="s">
        <v>36</v>
      </c>
      <c r="D9" s="6" t="s">
        <v>33</v>
      </c>
      <c r="E9" s="6" t="s">
        <v>15</v>
      </c>
      <c r="F9" s="6" t="s">
        <v>29</v>
      </c>
      <c r="G9" s="6"/>
      <c r="H9" s="6"/>
      <c r="I9" s="6" t="s">
        <v>37</v>
      </c>
    </row>
    <row r="10" customFormat="false" ht="15" hidden="false" customHeight="true" outlineLevel="0" collapsed="false">
      <c r="A10" s="6" t="s">
        <v>38</v>
      </c>
      <c r="B10" s="6" t="s">
        <v>26</v>
      </c>
      <c r="C10" s="6" t="s">
        <v>39</v>
      </c>
      <c r="D10" s="6" t="s">
        <v>33</v>
      </c>
      <c r="E10" s="6" t="s">
        <v>15</v>
      </c>
      <c r="F10" s="6" t="s">
        <v>29</v>
      </c>
      <c r="G10" s="6"/>
      <c r="H10" s="6"/>
      <c r="I10" s="6" t="s">
        <v>40</v>
      </c>
    </row>
    <row r="11" customFormat="false" ht="15" hidden="false" customHeight="true" outlineLevel="0" collapsed="false">
      <c r="A11" s="6" t="s">
        <v>41</v>
      </c>
      <c r="B11" s="6" t="s">
        <v>26</v>
      </c>
      <c r="C11" s="6" t="s">
        <v>42</v>
      </c>
      <c r="D11" s="6" t="s">
        <v>33</v>
      </c>
      <c r="E11" s="6" t="s">
        <v>15</v>
      </c>
      <c r="F11" s="6" t="s">
        <v>29</v>
      </c>
      <c r="G11" s="6"/>
      <c r="H11" s="6"/>
      <c r="I11" s="6" t="s">
        <v>43</v>
      </c>
    </row>
    <row r="12" customFormat="false" ht="15" hidden="false" customHeight="true" outlineLevel="0" collapsed="false">
      <c r="A12" s="6" t="s">
        <v>44</v>
      </c>
      <c r="B12" s="6" t="s">
        <v>19</v>
      </c>
      <c r="C12" s="6" t="s">
        <v>45</v>
      </c>
      <c r="D12" s="6" t="s">
        <v>46</v>
      </c>
      <c r="E12" s="6" t="s">
        <v>15</v>
      </c>
      <c r="F12" s="6" t="s">
        <v>29</v>
      </c>
      <c r="G12" s="6"/>
      <c r="H12" s="6"/>
      <c r="I12" s="6" t="s">
        <v>47</v>
      </c>
    </row>
    <row r="13" customFormat="false" ht="15" hidden="false" customHeight="true" outlineLevel="0" collapsed="false">
      <c r="A13" s="6" t="s">
        <v>48</v>
      </c>
      <c r="B13" s="6" t="s">
        <v>19</v>
      </c>
      <c r="C13" s="6" t="s">
        <v>49</v>
      </c>
      <c r="D13" s="6" t="s">
        <v>33</v>
      </c>
      <c r="E13" s="6" t="s">
        <v>15</v>
      </c>
      <c r="F13" s="6" t="s">
        <v>29</v>
      </c>
      <c r="G13" s="6"/>
      <c r="H13" s="6"/>
      <c r="I13" s="6" t="s">
        <v>50</v>
      </c>
    </row>
    <row r="14" customFormat="false" ht="15" hidden="false" customHeight="true" outlineLevel="0" collapsed="false">
      <c r="A14" s="6" t="s">
        <v>51</v>
      </c>
      <c r="B14" s="6" t="s">
        <v>19</v>
      </c>
      <c r="C14" s="6" t="s">
        <v>52</v>
      </c>
      <c r="D14" s="6" t="s">
        <v>33</v>
      </c>
      <c r="E14" s="6" t="s">
        <v>15</v>
      </c>
      <c r="F14" s="6" t="s">
        <v>29</v>
      </c>
      <c r="G14" s="6"/>
      <c r="H14" s="6"/>
      <c r="I14" s="6" t="s">
        <v>53</v>
      </c>
    </row>
    <row r="15" customFormat="false" ht="15" hidden="false" customHeight="true" outlineLevel="0" collapsed="false">
      <c r="A15" s="6" t="s">
        <v>54</v>
      </c>
      <c r="B15" s="6" t="s">
        <v>55</v>
      </c>
      <c r="C15" s="6" t="s">
        <v>56</v>
      </c>
      <c r="D15" s="6" t="s">
        <v>57</v>
      </c>
      <c r="E15" s="6" t="s">
        <v>15</v>
      </c>
      <c r="F15" s="6" t="s">
        <v>29</v>
      </c>
      <c r="G15" s="6"/>
      <c r="H15" s="6"/>
      <c r="I15" s="6" t="s">
        <v>58</v>
      </c>
    </row>
    <row r="16" customFormat="false" ht="15" hidden="false" customHeight="true" outlineLevel="0" collapsed="false">
      <c r="A16" s="6" t="s">
        <v>59</v>
      </c>
      <c r="B16" s="6" t="s">
        <v>55</v>
      </c>
      <c r="C16" s="6" t="s">
        <v>60</v>
      </c>
      <c r="D16" s="6" t="s">
        <v>33</v>
      </c>
      <c r="E16" s="6" t="s">
        <v>15</v>
      </c>
      <c r="F16" s="6" t="s">
        <v>29</v>
      </c>
      <c r="G16" s="6"/>
      <c r="H16" s="6"/>
      <c r="I16" s="6" t="s">
        <v>61</v>
      </c>
    </row>
    <row r="17" customFormat="false" ht="15" hidden="false" customHeight="true" outlineLevel="0" collapsed="false">
      <c r="A17" s="6" t="s">
        <v>62</v>
      </c>
      <c r="B17" s="6" t="s">
        <v>55</v>
      </c>
      <c r="C17" s="6" t="s">
        <v>63</v>
      </c>
      <c r="D17" s="6" t="s">
        <v>33</v>
      </c>
      <c r="E17" s="6" t="s">
        <v>15</v>
      </c>
      <c r="F17" s="6" t="s">
        <v>29</v>
      </c>
      <c r="G17" s="6"/>
      <c r="H17" s="6"/>
      <c r="I17" s="6" t="s">
        <v>40</v>
      </c>
    </row>
    <row r="18" customFormat="false" ht="15" hidden="false" customHeight="true" outlineLevel="0" collapsed="false">
      <c r="A18" s="6" t="s">
        <v>64</v>
      </c>
      <c r="B18" s="6" t="s">
        <v>55</v>
      </c>
      <c r="C18" s="6" t="s">
        <v>65</v>
      </c>
      <c r="D18" s="6" t="s">
        <v>33</v>
      </c>
      <c r="E18" s="6" t="s">
        <v>15</v>
      </c>
      <c r="F18" s="6" t="s">
        <v>29</v>
      </c>
      <c r="G18" s="6"/>
      <c r="H18" s="6"/>
      <c r="I18" s="6" t="s">
        <v>66</v>
      </c>
    </row>
    <row r="19" customFormat="false" ht="15" hidden="false" customHeight="true" outlineLevel="0" collapsed="false">
      <c r="A19" s="6" t="s">
        <v>67</v>
      </c>
      <c r="B19" s="6" t="s">
        <v>55</v>
      </c>
      <c r="C19" s="6" t="s">
        <v>68</v>
      </c>
      <c r="D19" s="6" t="s">
        <v>33</v>
      </c>
      <c r="E19" s="6" t="s">
        <v>15</v>
      </c>
      <c r="F19" s="6" t="s">
        <v>29</v>
      </c>
      <c r="G19" s="6"/>
      <c r="H19" s="6"/>
      <c r="I19" s="6" t="s">
        <v>69</v>
      </c>
    </row>
    <row r="20" customFormat="false" ht="15" hidden="false" customHeight="true" outlineLevel="0" collapsed="false">
      <c r="A20" s="6" t="s">
        <v>70</v>
      </c>
      <c r="B20" s="6" t="s">
        <v>55</v>
      </c>
      <c r="C20" s="6" t="s">
        <v>71</v>
      </c>
      <c r="D20" s="6" t="s">
        <v>33</v>
      </c>
      <c r="E20" s="6" t="s">
        <v>15</v>
      </c>
      <c r="F20" s="6" t="s">
        <v>29</v>
      </c>
      <c r="G20" s="6"/>
      <c r="H20" s="6"/>
      <c r="I20" s="6" t="s">
        <v>72</v>
      </c>
    </row>
    <row r="21" customFormat="false" ht="15" hidden="false" customHeight="true" outlineLevel="0" collapsed="false">
      <c r="A21" s="6" t="s">
        <v>73</v>
      </c>
      <c r="B21" s="6" t="s">
        <v>55</v>
      </c>
      <c r="C21" s="6" t="s">
        <v>74</v>
      </c>
      <c r="D21" s="6" t="s">
        <v>33</v>
      </c>
      <c r="E21" s="6" t="s">
        <v>15</v>
      </c>
      <c r="F21" s="6" t="s">
        <v>29</v>
      </c>
      <c r="G21" s="6"/>
      <c r="H21" s="6"/>
      <c r="I21" s="6" t="s">
        <v>75</v>
      </c>
    </row>
    <row r="22" customFormat="false" ht="15" hidden="false" customHeight="true" outlineLevel="0" collapsed="false">
      <c r="A22" s="6" t="s">
        <v>76</v>
      </c>
      <c r="B22" s="6" t="s">
        <v>55</v>
      </c>
      <c r="C22" s="6" t="s">
        <v>77</v>
      </c>
      <c r="D22" s="6" t="s">
        <v>33</v>
      </c>
      <c r="E22" s="6" t="s">
        <v>15</v>
      </c>
      <c r="F22" s="6" t="s">
        <v>29</v>
      </c>
      <c r="G22" s="6"/>
      <c r="H22" s="6"/>
      <c r="I22" s="6" t="s">
        <v>78</v>
      </c>
    </row>
    <row r="23" customFormat="false" ht="15" hidden="false" customHeight="true" outlineLevel="0" collapsed="false">
      <c r="A23" s="6" t="s">
        <v>79</v>
      </c>
      <c r="B23" s="6" t="s">
        <v>55</v>
      </c>
      <c r="C23" s="6" t="s">
        <v>80</v>
      </c>
      <c r="D23" s="6" t="s">
        <v>33</v>
      </c>
      <c r="E23" s="6" t="s">
        <v>15</v>
      </c>
      <c r="F23" s="6" t="s">
        <v>29</v>
      </c>
      <c r="G23" s="6"/>
      <c r="H23" s="6"/>
      <c r="I23" s="6" t="s">
        <v>81</v>
      </c>
    </row>
    <row r="24" customFormat="false" ht="15" hidden="false" customHeight="true" outlineLevel="0" collapsed="false">
      <c r="A24" s="6" t="s">
        <v>82</v>
      </c>
      <c r="B24" s="6" t="s">
        <v>55</v>
      </c>
      <c r="C24" s="6" t="s">
        <v>83</v>
      </c>
      <c r="D24" s="6" t="s">
        <v>33</v>
      </c>
      <c r="E24" s="6" t="s">
        <v>15</v>
      </c>
      <c r="F24" s="6" t="s">
        <v>29</v>
      </c>
      <c r="G24" s="6"/>
      <c r="H24" s="6"/>
      <c r="I24" s="6" t="s">
        <v>84</v>
      </c>
    </row>
    <row r="25" customFormat="false" ht="15" hidden="false" customHeight="true" outlineLevel="0" collapsed="false">
      <c r="A25" s="6" t="s">
        <v>85</v>
      </c>
      <c r="B25" s="6" t="s">
        <v>55</v>
      </c>
      <c r="C25" s="6" t="s">
        <v>86</v>
      </c>
      <c r="D25" s="6" t="s">
        <v>33</v>
      </c>
      <c r="E25" s="6" t="s">
        <v>15</v>
      </c>
      <c r="F25" s="6" t="s">
        <v>29</v>
      </c>
      <c r="G25" s="6"/>
      <c r="H25" s="6"/>
      <c r="I25" s="6" t="s">
        <v>87</v>
      </c>
    </row>
    <row r="26" customFormat="false" ht="15" hidden="false" customHeight="true" outlineLevel="0" collapsed="false">
      <c r="A26" s="6" t="s">
        <v>88</v>
      </c>
      <c r="B26" s="6" t="s">
        <v>55</v>
      </c>
      <c r="C26" s="6" t="s">
        <v>89</v>
      </c>
      <c r="D26" s="6" t="s">
        <v>33</v>
      </c>
      <c r="E26" s="6" t="s">
        <v>15</v>
      </c>
      <c r="F26" s="6" t="s">
        <v>29</v>
      </c>
      <c r="G26" s="6"/>
      <c r="H26" s="6"/>
      <c r="I26" s="6" t="s">
        <v>90</v>
      </c>
    </row>
    <row r="27" customFormat="false" ht="15" hidden="false" customHeight="true" outlineLevel="0" collapsed="false">
      <c r="A27" s="6" t="s">
        <v>91</v>
      </c>
      <c r="B27" s="6" t="s">
        <v>55</v>
      </c>
      <c r="C27" s="6" t="s">
        <v>92</v>
      </c>
      <c r="D27" s="6" t="s">
        <v>33</v>
      </c>
      <c r="E27" s="6" t="s">
        <v>15</v>
      </c>
      <c r="F27" s="6" t="s">
        <v>29</v>
      </c>
      <c r="G27" s="6"/>
      <c r="H27" s="6"/>
      <c r="I27" s="6" t="s">
        <v>93</v>
      </c>
    </row>
    <row r="28" customFormat="false" ht="15" hidden="false" customHeight="true" outlineLevel="0" collapsed="false">
      <c r="A28" s="6" t="s">
        <v>94</v>
      </c>
      <c r="B28" s="6" t="s">
        <v>55</v>
      </c>
      <c r="C28" s="6" t="s">
        <v>95</v>
      </c>
      <c r="D28" s="6" t="s">
        <v>33</v>
      </c>
      <c r="E28" s="6" t="s">
        <v>15</v>
      </c>
      <c r="F28" s="6" t="s">
        <v>29</v>
      </c>
      <c r="G28" s="6"/>
      <c r="H28" s="6"/>
      <c r="I28" s="6" t="s">
        <v>96</v>
      </c>
    </row>
    <row r="29" customFormat="false" ht="15" hidden="false" customHeight="true" outlineLevel="0" collapsed="false">
      <c r="A29" s="6" t="s">
        <v>97</v>
      </c>
      <c r="B29" s="6" t="s">
        <v>55</v>
      </c>
      <c r="C29" s="6" t="s">
        <v>98</v>
      </c>
      <c r="D29" s="6" t="s">
        <v>99</v>
      </c>
      <c r="E29" s="6" t="s">
        <v>15</v>
      </c>
      <c r="F29" s="6" t="s">
        <v>29</v>
      </c>
      <c r="G29" s="6"/>
      <c r="H29" s="6"/>
      <c r="I29" s="6" t="s">
        <v>100</v>
      </c>
    </row>
    <row r="30" customFormat="false" ht="15" hidden="false" customHeight="true" outlineLevel="0" collapsed="false">
      <c r="A30" s="6" t="s">
        <v>101</v>
      </c>
      <c r="B30" s="6" t="s">
        <v>55</v>
      </c>
      <c r="C30" s="6" t="s">
        <v>102</v>
      </c>
      <c r="D30" s="6" t="s">
        <v>33</v>
      </c>
      <c r="E30" s="6" t="s">
        <v>15</v>
      </c>
      <c r="F30" s="6" t="s">
        <v>29</v>
      </c>
      <c r="G30" s="6"/>
      <c r="H30" s="6"/>
      <c r="I30" s="6" t="s">
        <v>103</v>
      </c>
    </row>
    <row r="31" customFormat="false" ht="15" hidden="false" customHeight="true" outlineLevel="0" collapsed="false">
      <c r="A31" s="6" t="s">
        <v>104</v>
      </c>
      <c r="B31" s="6" t="s">
        <v>55</v>
      </c>
      <c r="C31" s="6" t="s">
        <v>105</v>
      </c>
      <c r="D31" s="6" t="s">
        <v>33</v>
      </c>
      <c r="E31" s="6" t="s">
        <v>15</v>
      </c>
      <c r="F31" s="6" t="s">
        <v>29</v>
      </c>
      <c r="G31" s="6"/>
      <c r="H31" s="6"/>
      <c r="I31" s="6" t="s">
        <v>106</v>
      </c>
    </row>
    <row r="32" customFormat="false" ht="15" hidden="false" customHeight="true" outlineLevel="0" collapsed="false">
      <c r="A32" s="6" t="s">
        <v>107</v>
      </c>
      <c r="B32" s="6" t="s">
        <v>55</v>
      </c>
      <c r="C32" s="6" t="s">
        <v>108</v>
      </c>
      <c r="D32" s="6" t="s">
        <v>33</v>
      </c>
      <c r="E32" s="6" t="s">
        <v>15</v>
      </c>
      <c r="F32" s="6" t="s">
        <v>29</v>
      </c>
      <c r="G32" s="6"/>
      <c r="H32" s="6"/>
      <c r="I32" s="6" t="s">
        <v>109</v>
      </c>
    </row>
    <row r="33" customFormat="false" ht="15" hidden="false" customHeight="true" outlineLevel="0" collapsed="false">
      <c r="A33" s="6" t="s">
        <v>110</v>
      </c>
      <c r="B33" s="6" t="s">
        <v>55</v>
      </c>
      <c r="C33" s="6" t="s">
        <v>111</v>
      </c>
      <c r="D33" s="6" t="s">
        <v>33</v>
      </c>
      <c r="E33" s="6" t="s">
        <v>15</v>
      </c>
      <c r="F33" s="6" t="s">
        <v>29</v>
      </c>
      <c r="G33" s="6"/>
      <c r="H33" s="6"/>
      <c r="I33" s="6" t="s">
        <v>112</v>
      </c>
    </row>
    <row r="34" customFormat="false" ht="15" hidden="false" customHeight="true" outlineLevel="0" collapsed="false">
      <c r="A34" s="6" t="s">
        <v>113</v>
      </c>
      <c r="B34" s="6" t="s">
        <v>55</v>
      </c>
      <c r="C34" s="6" t="s">
        <v>114</v>
      </c>
      <c r="D34" s="6" t="s">
        <v>33</v>
      </c>
      <c r="E34" s="6" t="s">
        <v>15</v>
      </c>
      <c r="F34" s="6" t="s">
        <v>29</v>
      </c>
      <c r="G34" s="6"/>
      <c r="H34" s="6"/>
      <c r="I34" s="6" t="s">
        <v>115</v>
      </c>
    </row>
    <row r="35" customFormat="false" ht="15" hidden="false" customHeight="true" outlineLevel="0" collapsed="false">
      <c r="A35" s="6" t="s">
        <v>116</v>
      </c>
      <c r="B35" s="6" t="s">
        <v>55</v>
      </c>
      <c r="C35" s="6" t="s">
        <v>117</v>
      </c>
      <c r="D35" s="6" t="s">
        <v>33</v>
      </c>
      <c r="E35" s="6" t="s">
        <v>15</v>
      </c>
      <c r="F35" s="6" t="s">
        <v>29</v>
      </c>
      <c r="G35" s="6"/>
      <c r="H35" s="6"/>
      <c r="I35" s="6" t="s">
        <v>118</v>
      </c>
    </row>
    <row r="36" customFormat="false" ht="15" hidden="false" customHeight="true" outlineLevel="0" collapsed="false">
      <c r="A36" s="6" t="s">
        <v>119</v>
      </c>
      <c r="B36" s="6" t="s">
        <v>55</v>
      </c>
      <c r="C36" s="6" t="s">
        <v>120</v>
      </c>
      <c r="D36" s="6" t="s">
        <v>33</v>
      </c>
      <c r="E36" s="6" t="s">
        <v>15</v>
      </c>
      <c r="F36" s="6" t="s">
        <v>29</v>
      </c>
      <c r="G36" s="6"/>
      <c r="H36" s="6"/>
      <c r="I36" s="6" t="s">
        <v>121</v>
      </c>
    </row>
    <row r="37" customFormat="false" ht="1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</row>
    <row r="39" customFormat="false" ht="1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</row>
    <row r="40" customFormat="false" ht="1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</row>
    <row r="41" customFormat="false" ht="1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</row>
    <row r="42" customFormat="false" ht="1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</row>
    <row r="43" customFormat="false" ht="1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</row>
    <row r="44" customFormat="false" ht="1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</row>
    <row r="45" customFormat="false" ht="1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</row>
    <row r="46" customFormat="false" ht="1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</row>
  </sheetData>
  <dataValidations count="2">
    <dataValidation allowBlank="true" errorStyle="stop" operator="between" showDropDown="false" showErrorMessage="false" showInputMessage="false" sqref="F5:F46" type="list">
      <formula1>"To Contact,Contacted,Interested,Mockup Sent,Booked,Won,Lost,Not a fit"</formula1>
      <formula2>0</formula2>
    </dataValidation>
    <dataValidation allowBlank="true" errorStyle="stop" operator="between" showDropDown="false" showErrorMessage="false" showInputMessage="false" sqref="B5:B46" type="list">
      <formula1>"Landscaping,Cleaning,Auto,Plumbing/Handyman,Restaurant/Food Truck,Salon/Barber,Fitness,Pest Control,Catering,Other"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</cols>
  <sheetData>
    <row r="1" customFormat="false" ht="19.5" hidden="false" customHeight="true" outlineLevel="0" collapsed="false">
      <c r="A1" s="2" t="s">
        <v>122</v>
      </c>
    </row>
    <row r="2" customFormat="false" ht="15" hidden="false" customHeight="true" outlineLevel="0" collapsed="false">
      <c r="A2" s="3" t="s">
        <v>123</v>
      </c>
    </row>
    <row r="4" customFormat="false" ht="15" hidden="false" customHeight="true" outlineLevel="0" collapsed="false">
      <c r="A4" s="7" t="s">
        <v>124</v>
      </c>
      <c r="B4" s="7" t="s">
        <v>125</v>
      </c>
    </row>
    <row r="5" customFormat="false" ht="15" hidden="false" customHeight="true" outlineLevel="0" collapsed="false">
      <c r="A5" s="8" t="s">
        <v>29</v>
      </c>
      <c r="B5" s="9" t="n">
        <f aca="false">COUNTIF(Pipeline!$F$5:$F$1000,"To Contact")</f>
        <v>30</v>
      </c>
    </row>
    <row r="6" customFormat="false" ht="15" hidden="false" customHeight="true" outlineLevel="0" collapsed="false">
      <c r="A6" s="8" t="s">
        <v>126</v>
      </c>
      <c r="B6" s="9" t="n">
        <f aca="false">COUNTIF(Pipeline!$F$5:$F$1000,"Contacted")</f>
        <v>0</v>
      </c>
    </row>
    <row r="7" customFormat="false" ht="15" hidden="false" customHeight="true" outlineLevel="0" collapsed="false">
      <c r="A7" s="8" t="s">
        <v>16</v>
      </c>
      <c r="B7" s="9" t="n">
        <f aca="false">COUNTIF(Pipeline!$F$5:$F$1000,"Interested")</f>
        <v>1</v>
      </c>
    </row>
    <row r="8" customFormat="false" ht="15" hidden="false" customHeight="true" outlineLevel="0" collapsed="false">
      <c r="A8" s="8" t="s">
        <v>23</v>
      </c>
      <c r="B8" s="9" t="n">
        <f aca="false">COUNTIF(Pipeline!$F$5:$F$1000,"Mockup Sent")</f>
        <v>1</v>
      </c>
    </row>
    <row r="9" customFormat="false" ht="15" hidden="false" customHeight="true" outlineLevel="0" collapsed="false">
      <c r="A9" s="8" t="s">
        <v>127</v>
      </c>
      <c r="B9" s="9" t="n">
        <f aca="false">COUNTIF(Pipeline!$F$5:$F$1000,"Booked")</f>
        <v>0</v>
      </c>
    </row>
    <row r="10" customFormat="false" ht="15" hidden="false" customHeight="true" outlineLevel="0" collapsed="false">
      <c r="A10" s="8" t="s">
        <v>128</v>
      </c>
      <c r="B10" s="9" t="n">
        <f aca="false">COUNTIF(Pipeline!$F$5:$F$1000,"Won")</f>
        <v>0</v>
      </c>
    </row>
    <row r="11" customFormat="false" ht="15" hidden="false" customHeight="true" outlineLevel="0" collapsed="false">
      <c r="A11" s="8" t="s">
        <v>129</v>
      </c>
      <c r="B11" s="9" t="n">
        <f aca="false">COUNTIF(Pipeline!$F$5:$F$1000,"Lost")</f>
        <v>0</v>
      </c>
    </row>
    <row r="12" customFormat="false" ht="15" hidden="false" customHeight="true" outlineLevel="0" collapsed="false">
      <c r="A12" s="10" t="s">
        <v>130</v>
      </c>
      <c r="B12" s="11" t="n">
        <f aca="false">COUNTA(Pipeline!$A$5:$A$1000)</f>
        <v>32</v>
      </c>
    </row>
    <row r="13" customFormat="false" ht="15" hidden="false" customHeight="true" outlineLevel="0" collapsed="false">
      <c r="A13" s="12" t="s">
        <v>131</v>
      </c>
      <c r="B13" s="13" t="n">
        <f aca="false">IF(B12=0,0,B10/B12)</f>
        <v>0</v>
      </c>
    </row>
    <row r="15" customFormat="false" ht="15" hidden="false" customHeight="true" outlineLevel="0" collapsed="false">
      <c r="A15" s="3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9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42"/>
    <col collapsed="false" customWidth="true" hidden="false" outlineLevel="0" max="9" min="9" style="1" width="54"/>
    <col collapsed="false" customWidth="true" hidden="false" outlineLevel="0" max="10" min="10" style="0" width="46"/>
  </cols>
  <sheetData>
    <row r="1" customFormat="false" ht="19.5" hidden="false" customHeight="true" outlineLevel="0" collapsed="false">
      <c r="A1" s="2" t="s">
        <v>133</v>
      </c>
    </row>
    <row r="2" customFormat="false" ht="15" hidden="false" customHeight="true" outlineLevel="0" collapsed="false">
      <c r="A2" s="3" t="s">
        <v>134</v>
      </c>
    </row>
    <row r="4" customFormat="false" ht="27.75" hidden="false" customHeight="true" outlineLevel="0" collapsed="false">
      <c r="A4" s="4" t="s">
        <v>135</v>
      </c>
      <c r="B4" s="4" t="s">
        <v>2</v>
      </c>
      <c r="C4" s="4" t="s">
        <v>136</v>
      </c>
      <c r="D4" s="4" t="s">
        <v>137</v>
      </c>
      <c r="E4" s="4" t="s">
        <v>138</v>
      </c>
      <c r="F4" s="4" t="s">
        <v>139</v>
      </c>
      <c r="G4" s="4" t="s">
        <v>140</v>
      </c>
      <c r="H4" s="4" t="s">
        <v>141</v>
      </c>
      <c r="I4" s="4" t="s">
        <v>142</v>
      </c>
      <c r="J4" s="4" t="s">
        <v>143</v>
      </c>
    </row>
    <row r="5" customFormat="false" ht="45.75" hidden="false" customHeight="true" outlineLevel="0" collapsed="false">
      <c r="A5" s="14" t="s">
        <v>144</v>
      </c>
      <c r="B5" s="15" t="s">
        <v>25</v>
      </c>
      <c r="C5" s="15" t="s">
        <v>26</v>
      </c>
      <c r="D5" s="15" t="s">
        <v>145</v>
      </c>
      <c r="E5" s="16" t="n">
        <v>71</v>
      </c>
      <c r="F5" s="15" t="s">
        <v>28</v>
      </c>
      <c r="G5" s="16" t="s">
        <v>146</v>
      </c>
      <c r="H5" s="15" t="s">
        <v>27</v>
      </c>
      <c r="I5" s="15" t="s">
        <v>147</v>
      </c>
      <c r="J5" s="17" t="s">
        <v>148</v>
      </c>
    </row>
    <row r="6" customFormat="false" ht="45.75" hidden="false" customHeight="true" outlineLevel="0" collapsed="false">
      <c r="A6" s="14" t="s">
        <v>144</v>
      </c>
      <c r="B6" s="15" t="s">
        <v>31</v>
      </c>
      <c r="C6" s="15" t="s">
        <v>26</v>
      </c>
      <c r="D6" s="15" t="s">
        <v>149</v>
      </c>
      <c r="E6" s="16" t="n">
        <v>69</v>
      </c>
      <c r="F6" s="15"/>
      <c r="G6" s="16" t="s">
        <v>146</v>
      </c>
      <c r="H6" s="15" t="s">
        <v>32</v>
      </c>
      <c r="I6" s="15" t="s">
        <v>150</v>
      </c>
      <c r="J6" s="17" t="s">
        <v>148</v>
      </c>
    </row>
    <row r="7" customFormat="false" ht="45.75" hidden="false" customHeight="true" outlineLevel="0" collapsed="false">
      <c r="A7" s="14" t="s">
        <v>144</v>
      </c>
      <c r="B7" s="15" t="s">
        <v>35</v>
      </c>
      <c r="C7" s="15" t="s">
        <v>26</v>
      </c>
      <c r="D7" s="15" t="s">
        <v>149</v>
      </c>
      <c r="E7" s="16" t="n">
        <v>58</v>
      </c>
      <c r="F7" s="15"/>
      <c r="G7" s="16" t="s">
        <v>151</v>
      </c>
      <c r="H7" s="15" t="s">
        <v>36</v>
      </c>
      <c r="I7" s="15" t="s">
        <v>152</v>
      </c>
      <c r="J7" s="17" t="s">
        <v>148</v>
      </c>
    </row>
    <row r="8" customFormat="false" ht="23.25" hidden="false" customHeight="true" outlineLevel="0" collapsed="false">
      <c r="A8" s="14" t="s">
        <v>144</v>
      </c>
      <c r="B8" s="15" t="s">
        <v>38</v>
      </c>
      <c r="C8" s="15" t="s">
        <v>26</v>
      </c>
      <c r="D8" s="15" t="s">
        <v>153</v>
      </c>
      <c r="E8" s="16" t="n">
        <v>35</v>
      </c>
      <c r="F8" s="15"/>
      <c r="G8" s="16" t="s">
        <v>151</v>
      </c>
      <c r="H8" s="15" t="s">
        <v>39</v>
      </c>
      <c r="I8" s="15"/>
      <c r="J8" s="17" t="s">
        <v>148</v>
      </c>
    </row>
    <row r="9" customFormat="false" ht="23.25" hidden="false" customHeight="true" outlineLevel="0" collapsed="false">
      <c r="A9" s="14" t="s">
        <v>144</v>
      </c>
      <c r="B9" s="15" t="s">
        <v>41</v>
      </c>
      <c r="C9" s="15" t="s">
        <v>26</v>
      </c>
      <c r="D9" s="15" t="s">
        <v>154</v>
      </c>
      <c r="E9" s="16" t="n">
        <v>42</v>
      </c>
      <c r="F9" s="15"/>
      <c r="G9" s="16" t="s">
        <v>151</v>
      </c>
      <c r="H9" s="15" t="s">
        <v>42</v>
      </c>
      <c r="I9" s="15"/>
      <c r="J9" s="17" t="s">
        <v>148</v>
      </c>
    </row>
    <row r="10" customFormat="false" ht="45.75" hidden="false" customHeight="true" outlineLevel="0" collapsed="false">
      <c r="A10" s="14" t="s">
        <v>144</v>
      </c>
      <c r="B10" s="15" t="s">
        <v>44</v>
      </c>
      <c r="C10" s="15" t="s">
        <v>19</v>
      </c>
      <c r="D10" s="15" t="s">
        <v>145</v>
      </c>
      <c r="E10" s="16" t="n">
        <v>10</v>
      </c>
      <c r="F10" s="15" t="s">
        <v>46</v>
      </c>
      <c r="G10" s="16" t="s">
        <v>151</v>
      </c>
      <c r="H10" s="15" t="s">
        <v>45</v>
      </c>
      <c r="I10" s="15" t="s">
        <v>155</v>
      </c>
      <c r="J10" s="17" t="s">
        <v>148</v>
      </c>
    </row>
    <row r="11" customFormat="false" ht="23.25" hidden="false" customHeight="true" outlineLevel="0" collapsed="false">
      <c r="A11" s="14" t="s">
        <v>144</v>
      </c>
      <c r="B11" s="15" t="s">
        <v>48</v>
      </c>
      <c r="C11" s="15" t="s">
        <v>19</v>
      </c>
      <c r="D11" s="15" t="s">
        <v>149</v>
      </c>
      <c r="E11" s="16" t="n">
        <v>16</v>
      </c>
      <c r="F11" s="15"/>
      <c r="G11" s="16" t="s">
        <v>151</v>
      </c>
      <c r="H11" s="15" t="s">
        <v>49</v>
      </c>
      <c r="I11" s="15"/>
      <c r="J11" s="17" t="s">
        <v>148</v>
      </c>
    </row>
    <row r="12" customFormat="false" ht="23.25" hidden="false" customHeight="true" outlineLevel="0" collapsed="false">
      <c r="A12" s="18" t="s">
        <v>156</v>
      </c>
      <c r="B12" s="19" t="s">
        <v>51</v>
      </c>
      <c r="C12" s="19" t="s">
        <v>19</v>
      </c>
      <c r="D12" s="19" t="s">
        <v>145</v>
      </c>
      <c r="E12" s="20" t="n">
        <v>9</v>
      </c>
      <c r="F12" s="19"/>
      <c r="G12" s="20" t="s">
        <v>151</v>
      </c>
      <c r="H12" s="19" t="s">
        <v>52</v>
      </c>
      <c r="I12" s="19"/>
      <c r="J12" s="21" t="s">
        <v>148</v>
      </c>
    </row>
    <row r="13" customFormat="false" ht="45.75" hidden="false" customHeight="true" outlineLevel="0" collapsed="false">
      <c r="A13" s="14" t="s">
        <v>144</v>
      </c>
      <c r="B13" s="15" t="s">
        <v>54</v>
      </c>
      <c r="C13" s="15" t="s">
        <v>157</v>
      </c>
      <c r="D13" s="15" t="s">
        <v>145</v>
      </c>
      <c r="E13" s="16" t="n">
        <v>63</v>
      </c>
      <c r="F13" s="15" t="s">
        <v>57</v>
      </c>
      <c r="G13" s="16" t="s">
        <v>146</v>
      </c>
      <c r="H13" s="15" t="s">
        <v>56</v>
      </c>
      <c r="I13" s="15" t="s">
        <v>158</v>
      </c>
      <c r="J13" s="17" t="s">
        <v>159</v>
      </c>
    </row>
    <row r="14" customFormat="false" ht="23.25" hidden="false" customHeight="true" outlineLevel="0" collapsed="false">
      <c r="A14" s="14" t="s">
        <v>144</v>
      </c>
      <c r="B14" s="15" t="s">
        <v>59</v>
      </c>
      <c r="C14" s="15" t="s">
        <v>157</v>
      </c>
      <c r="D14" s="15" t="s">
        <v>153</v>
      </c>
      <c r="E14" s="16" t="n">
        <v>24</v>
      </c>
      <c r="F14" s="15"/>
      <c r="G14" s="16" t="s">
        <v>146</v>
      </c>
      <c r="H14" s="15" t="s">
        <v>60</v>
      </c>
      <c r="I14" s="15"/>
      <c r="J14" s="17" t="s">
        <v>159</v>
      </c>
    </row>
    <row r="15" customFormat="false" ht="23.25" hidden="false" customHeight="true" outlineLevel="0" collapsed="false">
      <c r="A15" s="14" t="s">
        <v>144</v>
      </c>
      <c r="B15" s="15" t="s">
        <v>62</v>
      </c>
      <c r="C15" s="15" t="s">
        <v>157</v>
      </c>
      <c r="D15" s="15" t="s">
        <v>153</v>
      </c>
      <c r="E15" s="16" t="n">
        <v>35</v>
      </c>
      <c r="F15" s="15"/>
      <c r="G15" s="16" t="s">
        <v>151</v>
      </c>
      <c r="H15" s="15" t="s">
        <v>63</v>
      </c>
      <c r="I15" s="15"/>
      <c r="J15" s="17" t="s">
        <v>159</v>
      </c>
    </row>
    <row r="16" customFormat="false" ht="23.25" hidden="false" customHeight="true" outlineLevel="0" collapsed="false">
      <c r="A16" s="14" t="s">
        <v>144</v>
      </c>
      <c r="B16" s="15" t="s">
        <v>64</v>
      </c>
      <c r="C16" s="15" t="s">
        <v>157</v>
      </c>
      <c r="D16" s="15" t="s">
        <v>160</v>
      </c>
      <c r="E16" s="16" t="n">
        <v>26</v>
      </c>
      <c r="F16" s="15"/>
      <c r="G16" s="16" t="s">
        <v>146</v>
      </c>
      <c r="H16" s="15" t="s">
        <v>65</v>
      </c>
      <c r="I16" s="15"/>
      <c r="J16" s="17" t="s">
        <v>159</v>
      </c>
    </row>
    <row r="17" customFormat="false" ht="45.75" hidden="false" customHeight="true" outlineLevel="0" collapsed="false">
      <c r="A17" s="14" t="s">
        <v>144</v>
      </c>
      <c r="B17" s="15" t="s">
        <v>67</v>
      </c>
      <c r="C17" s="15" t="s">
        <v>161</v>
      </c>
      <c r="D17" s="15" t="s">
        <v>162</v>
      </c>
      <c r="E17" s="16" t="n">
        <v>21</v>
      </c>
      <c r="F17" s="15"/>
      <c r="G17" s="16" t="s">
        <v>151</v>
      </c>
      <c r="H17" s="15" t="s">
        <v>68</v>
      </c>
      <c r="I17" s="15" t="s">
        <v>163</v>
      </c>
      <c r="J17" s="17" t="s">
        <v>164</v>
      </c>
    </row>
    <row r="18" customFormat="false" ht="23.25" hidden="false" customHeight="true" outlineLevel="0" collapsed="false">
      <c r="A18" s="14" t="s">
        <v>144</v>
      </c>
      <c r="B18" s="15" t="s">
        <v>70</v>
      </c>
      <c r="C18" s="15" t="s">
        <v>165</v>
      </c>
      <c r="D18" s="15" t="s">
        <v>153</v>
      </c>
      <c r="E18" s="16" t="n">
        <v>9</v>
      </c>
      <c r="F18" s="15"/>
      <c r="G18" s="16" t="s">
        <v>151</v>
      </c>
      <c r="H18" s="15" t="s">
        <v>71</v>
      </c>
      <c r="I18" s="15"/>
      <c r="J18" s="17" t="s">
        <v>164</v>
      </c>
    </row>
    <row r="19" customFormat="false" ht="23.25" hidden="false" customHeight="true" outlineLevel="0" collapsed="false">
      <c r="A19" s="14" t="s">
        <v>144</v>
      </c>
      <c r="B19" s="15" t="s">
        <v>73</v>
      </c>
      <c r="C19" s="15" t="s">
        <v>166</v>
      </c>
      <c r="D19" s="15" t="s">
        <v>153</v>
      </c>
      <c r="E19" s="16" t="n">
        <v>18</v>
      </c>
      <c r="F19" s="15"/>
      <c r="G19" s="16" t="s">
        <v>146</v>
      </c>
      <c r="H19" s="15" t="s">
        <v>74</v>
      </c>
      <c r="I19" s="15"/>
      <c r="J19" s="17" t="s">
        <v>164</v>
      </c>
    </row>
    <row r="20" customFormat="false" ht="45.75" hidden="false" customHeight="true" outlineLevel="0" collapsed="false">
      <c r="A20" s="14" t="s">
        <v>144</v>
      </c>
      <c r="B20" s="15" t="s">
        <v>76</v>
      </c>
      <c r="C20" s="15" t="s">
        <v>167</v>
      </c>
      <c r="D20" s="15" t="s">
        <v>168</v>
      </c>
      <c r="E20" s="16" t="n">
        <v>31</v>
      </c>
      <c r="F20" s="15"/>
      <c r="G20" s="16" t="s">
        <v>146</v>
      </c>
      <c r="H20" s="15" t="s">
        <v>77</v>
      </c>
      <c r="I20" s="15" t="s">
        <v>169</v>
      </c>
      <c r="J20" s="17" t="s">
        <v>164</v>
      </c>
    </row>
    <row r="21" customFormat="false" ht="23.25" hidden="false" customHeight="true" outlineLevel="0" collapsed="false">
      <c r="A21" s="14" t="s">
        <v>144</v>
      </c>
      <c r="B21" s="15" t="s">
        <v>79</v>
      </c>
      <c r="C21" s="15" t="s">
        <v>170</v>
      </c>
      <c r="D21" s="15" t="s">
        <v>153</v>
      </c>
      <c r="E21" s="16" t="n">
        <v>24</v>
      </c>
      <c r="F21" s="15"/>
      <c r="G21" s="16" t="s">
        <v>151</v>
      </c>
      <c r="H21" s="15" t="s">
        <v>80</v>
      </c>
      <c r="I21" s="15"/>
      <c r="J21" s="17" t="s">
        <v>164</v>
      </c>
    </row>
    <row r="22" customFormat="false" ht="23.25" hidden="false" customHeight="true" outlineLevel="0" collapsed="false">
      <c r="A22" s="14" t="s">
        <v>144</v>
      </c>
      <c r="B22" s="15" t="s">
        <v>82</v>
      </c>
      <c r="C22" s="15" t="s">
        <v>171</v>
      </c>
      <c r="D22" s="15" t="s">
        <v>160</v>
      </c>
      <c r="E22" s="16" t="n">
        <v>17</v>
      </c>
      <c r="F22" s="15"/>
      <c r="G22" s="16" t="s">
        <v>151</v>
      </c>
      <c r="H22" s="15" t="s">
        <v>83</v>
      </c>
      <c r="I22" s="15"/>
      <c r="J22" s="17" t="s">
        <v>164</v>
      </c>
    </row>
    <row r="23" customFormat="false" ht="45.75" hidden="false" customHeight="true" outlineLevel="0" collapsed="false">
      <c r="A23" s="14" t="s">
        <v>144</v>
      </c>
      <c r="B23" s="15" t="s">
        <v>85</v>
      </c>
      <c r="C23" s="15" t="s">
        <v>172</v>
      </c>
      <c r="D23" s="15" t="s">
        <v>153</v>
      </c>
      <c r="E23" s="16" t="n">
        <v>17</v>
      </c>
      <c r="F23" s="15"/>
      <c r="G23" s="16" t="s">
        <v>151</v>
      </c>
      <c r="H23" s="15" t="s">
        <v>86</v>
      </c>
      <c r="I23" s="15" t="s">
        <v>173</v>
      </c>
      <c r="J23" s="17" t="s">
        <v>174</v>
      </c>
    </row>
    <row r="24" customFormat="false" ht="23.25" hidden="false" customHeight="true" outlineLevel="0" collapsed="false">
      <c r="A24" s="14" t="s">
        <v>144</v>
      </c>
      <c r="B24" s="15" t="s">
        <v>88</v>
      </c>
      <c r="C24" s="15" t="s">
        <v>175</v>
      </c>
      <c r="D24" s="15" t="s">
        <v>176</v>
      </c>
      <c r="E24" s="16" t="n">
        <v>20</v>
      </c>
      <c r="F24" s="15"/>
      <c r="G24" s="16" t="s">
        <v>146</v>
      </c>
      <c r="H24" s="15" t="s">
        <v>89</v>
      </c>
      <c r="I24" s="15"/>
      <c r="J24" s="17" t="s">
        <v>174</v>
      </c>
    </row>
    <row r="25" customFormat="false" ht="23.25" hidden="false" customHeight="true" outlineLevel="0" collapsed="false">
      <c r="A25" s="18" t="s">
        <v>156</v>
      </c>
      <c r="B25" s="19" t="s">
        <v>91</v>
      </c>
      <c r="C25" s="19" t="s">
        <v>177</v>
      </c>
      <c r="D25" s="19" t="s">
        <v>153</v>
      </c>
      <c r="E25" s="20" t="n">
        <v>57</v>
      </c>
      <c r="F25" s="19"/>
      <c r="G25" s="20" t="s">
        <v>146</v>
      </c>
      <c r="H25" s="19" t="s">
        <v>92</v>
      </c>
      <c r="I25" s="19"/>
      <c r="J25" s="21" t="s">
        <v>174</v>
      </c>
    </row>
    <row r="26" customFormat="false" ht="45.75" hidden="false" customHeight="true" outlineLevel="0" collapsed="false">
      <c r="A26" s="14" t="s">
        <v>144</v>
      </c>
      <c r="B26" s="15" t="s">
        <v>94</v>
      </c>
      <c r="C26" s="15" t="s">
        <v>178</v>
      </c>
      <c r="D26" s="15" t="s">
        <v>179</v>
      </c>
      <c r="E26" s="16" t="n">
        <v>8</v>
      </c>
      <c r="F26" s="15"/>
      <c r="G26" s="16" t="s">
        <v>151</v>
      </c>
      <c r="H26" s="15" t="s">
        <v>95</v>
      </c>
      <c r="I26" s="15" t="s">
        <v>180</v>
      </c>
      <c r="J26" s="17" t="s">
        <v>181</v>
      </c>
    </row>
    <row r="27" customFormat="false" ht="23.25" hidden="false" customHeight="true" outlineLevel="0" collapsed="false">
      <c r="A27" s="14" t="s">
        <v>144</v>
      </c>
      <c r="B27" s="15" t="s">
        <v>97</v>
      </c>
      <c r="C27" s="15" t="s">
        <v>182</v>
      </c>
      <c r="D27" s="15" t="s">
        <v>145</v>
      </c>
      <c r="E27" s="16" t="n">
        <v>28</v>
      </c>
      <c r="F27" s="15" t="s">
        <v>99</v>
      </c>
      <c r="G27" s="16" t="s">
        <v>151</v>
      </c>
      <c r="H27" s="15" t="s">
        <v>98</v>
      </c>
      <c r="I27" s="15"/>
      <c r="J27" s="17" t="s">
        <v>181</v>
      </c>
    </row>
    <row r="28" customFormat="false" ht="23.25" hidden="false" customHeight="true" outlineLevel="0" collapsed="false">
      <c r="A28" s="18" t="s">
        <v>156</v>
      </c>
      <c r="B28" s="19" t="s">
        <v>101</v>
      </c>
      <c r="C28" s="19" t="s">
        <v>183</v>
      </c>
      <c r="D28" s="19" t="s">
        <v>153</v>
      </c>
      <c r="E28" s="20" t="n">
        <v>51</v>
      </c>
      <c r="F28" s="19"/>
      <c r="G28" s="20" t="s">
        <v>146</v>
      </c>
      <c r="H28" s="19" t="s">
        <v>102</v>
      </c>
      <c r="I28" s="19"/>
      <c r="J28" s="21" t="s">
        <v>184</v>
      </c>
    </row>
    <row r="29" customFormat="false" ht="23.25" hidden="false" customHeight="true" outlineLevel="0" collapsed="false">
      <c r="A29" s="14" t="s">
        <v>144</v>
      </c>
      <c r="B29" s="15" t="s">
        <v>104</v>
      </c>
      <c r="C29" s="15" t="s">
        <v>185</v>
      </c>
      <c r="D29" s="15" t="s">
        <v>153</v>
      </c>
      <c r="E29" s="16" t="n">
        <v>10</v>
      </c>
      <c r="F29" s="15"/>
      <c r="G29" s="16" t="s">
        <v>151</v>
      </c>
      <c r="H29" s="15" t="s">
        <v>105</v>
      </c>
      <c r="I29" s="15"/>
      <c r="J29" s="17" t="s">
        <v>184</v>
      </c>
    </row>
    <row r="30" customFormat="false" ht="34.5" hidden="false" customHeight="true" outlineLevel="0" collapsed="false">
      <c r="A30" s="14" t="s">
        <v>144</v>
      </c>
      <c r="B30" s="15" t="s">
        <v>107</v>
      </c>
      <c r="C30" s="15" t="s">
        <v>186</v>
      </c>
      <c r="D30" s="15" t="s">
        <v>153</v>
      </c>
      <c r="E30" s="16" t="n">
        <v>21</v>
      </c>
      <c r="F30" s="15"/>
      <c r="G30" s="16" t="s">
        <v>146</v>
      </c>
      <c r="H30" s="15" t="s">
        <v>108</v>
      </c>
      <c r="I30" s="15"/>
      <c r="J30" s="17" t="s">
        <v>184</v>
      </c>
    </row>
    <row r="31" customFormat="false" ht="23.25" hidden="false" customHeight="true" outlineLevel="0" collapsed="false">
      <c r="A31" s="14" t="s">
        <v>144</v>
      </c>
      <c r="B31" s="15" t="s">
        <v>110</v>
      </c>
      <c r="C31" s="15" t="s">
        <v>185</v>
      </c>
      <c r="D31" s="15" t="s">
        <v>187</v>
      </c>
      <c r="E31" s="16" t="n">
        <v>37</v>
      </c>
      <c r="F31" s="15"/>
      <c r="G31" s="16" t="s">
        <v>151</v>
      </c>
      <c r="H31" s="15" t="s">
        <v>111</v>
      </c>
      <c r="I31" s="15"/>
      <c r="J31" s="17" t="s">
        <v>184</v>
      </c>
    </row>
    <row r="32" customFormat="false" ht="45.75" hidden="false" customHeight="true" outlineLevel="0" collapsed="false">
      <c r="A32" s="14" t="s">
        <v>144</v>
      </c>
      <c r="B32" s="15" t="s">
        <v>113</v>
      </c>
      <c r="C32" s="15" t="s">
        <v>188</v>
      </c>
      <c r="D32" s="15" t="s">
        <v>149</v>
      </c>
      <c r="E32" s="16" t="n">
        <v>4</v>
      </c>
      <c r="F32" s="15"/>
      <c r="G32" s="16" t="s">
        <v>151</v>
      </c>
      <c r="H32" s="15" t="s">
        <v>114</v>
      </c>
      <c r="I32" s="15" t="s">
        <v>189</v>
      </c>
      <c r="J32" s="17" t="s">
        <v>148</v>
      </c>
    </row>
    <row r="33" customFormat="false" ht="23.25" hidden="false" customHeight="true" outlineLevel="0" collapsed="false">
      <c r="A33" s="14" t="s">
        <v>144</v>
      </c>
      <c r="B33" s="15" t="s">
        <v>116</v>
      </c>
      <c r="C33" s="15" t="s">
        <v>188</v>
      </c>
      <c r="D33" s="15" t="s">
        <v>149</v>
      </c>
      <c r="E33" s="16" t="n">
        <v>9</v>
      </c>
      <c r="F33" s="15"/>
      <c r="G33" s="16" t="s">
        <v>151</v>
      </c>
      <c r="H33" s="15" t="s">
        <v>117</v>
      </c>
      <c r="I33" s="15"/>
      <c r="J33" s="17" t="s">
        <v>148</v>
      </c>
    </row>
    <row r="34" customFormat="false" ht="23.25" hidden="false" customHeight="true" outlineLevel="0" collapsed="false">
      <c r="A34" s="14" t="s">
        <v>144</v>
      </c>
      <c r="B34" s="15" t="s">
        <v>119</v>
      </c>
      <c r="C34" s="15" t="s">
        <v>188</v>
      </c>
      <c r="D34" s="15" t="s">
        <v>149</v>
      </c>
      <c r="E34" s="16" t="n">
        <v>11</v>
      </c>
      <c r="F34" s="15"/>
      <c r="G34" s="16" t="s">
        <v>151</v>
      </c>
      <c r="H34" s="15" t="s">
        <v>120</v>
      </c>
      <c r="I34" s="15"/>
      <c r="J34" s="17" t="s">
        <v>148</v>
      </c>
    </row>
  </sheetData>
  <dataValidations count="1">
    <dataValidation allowBlank="true" errorStyle="stop" operator="between" showDropDown="false" showErrorMessage="false" showInputMessage="false" sqref="A5:A54" type="list">
      <formula1>"HOT,WARM,REACH"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2026-07-03T09:06:11Z</dcterms:created>
  <dc:creator>openpyxl</dc:creator>
  <dc:description/>
  <dc:language>en-US</dc:language>
  <cp:lastModifiedBy/>
  <dcterms:modified xsi:type="dcterms:W3CDTF">2026-07-09T10:58:12Z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